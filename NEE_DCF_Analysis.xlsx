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e of N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FFE6DB74"/>
        <bgColor rgb="FFE6DB74"/>
      </patternFill>
    </fill>
  </fills>
  <borders count="20">
    <border>
      <left/>
      <right/>
      <top/>
      <bottom/>
      <diagonal/>
    </border>
    <border>
      <left style="medium">
        <color rgb="FFB1B9F9"/>
      </left>
      <top style="medium">
        <color rgb="FFB1B9F9"/>
      </top>
    </border>
    <border>
      <top style="medium">
        <color rgb="FFB1B9F9"/>
      </top>
    </border>
    <border>
      <right style="medium">
        <color rgb="FFB1B9F9"/>
      </right>
      <top style="medium">
        <color rgb="FFB1B9F9"/>
      </top>
    </border>
    <border>
      <left style="medium">
        <color rgb="FFB1B9F9"/>
      </left>
    </border>
    <border/>
    <border>
      <right style="medium">
        <color rgb="FFB1B9F9"/>
      </right>
    </border>
    <border>
      <left style="medium">
        <color rgb="FFB1B9F9"/>
      </left>
      <bottom style="medium">
        <color rgb="FFB1B9F9"/>
      </bottom>
    </border>
    <border>
      <bottom style="medium">
        <color rgb="FFB1B9F9"/>
      </bottom>
    </border>
    <border>
      <right style="medium">
        <color rgb="FFB1B9F9"/>
      </right>
      <bottom style="medium">
        <color rgb="FFB1B9F9"/>
      </bottom>
    </border>
    <border>
      <left/>
      <right style="medium">
        <color rgb="FFB1B9F9"/>
      </right>
      <top/>
    </border>
    <border>
      <left/>
      <right/>
      <top style="medium">
        <color rgb="FFB1B9F9"/>
      </top>
      <bottom/>
    </border>
    <border>
      <left/>
      <right style="medium">
        <color rgb="FFB1B9F9"/>
      </right>
      <top style="medium">
        <color rgb="FFB1B9F9"/>
      </top>
      <bottom/>
    </border>
    <border>
      <left/>
      <right style="medium">
        <color rgb="FFB1B9F9"/>
      </right>
      <top/>
      <bottom/>
    </border>
    <border>
      <left/>
      <right/>
      <top/>
      <bottom style="medium">
        <color rgb="FFB1B9F9"/>
      </bottom>
    </border>
    <border>
      <left/>
      <right style="medium">
        <color rgb="FFB1B9F9"/>
      </right>
      <top/>
      <bottom style="medium">
        <color rgb="FFB1B9F9"/>
      </bottom>
    </border>
    <border>
      <left style="thick">
        <color rgb="FFDD5E56"/>
      </left>
      <top style="thick">
        <color rgb="FFDD5E56"/>
      </top>
      <bottom style="thick">
        <color rgb="FFDD5E56"/>
      </bottom>
    </border>
    <border>
      <right style="thick">
        <color rgb="FFDD5E56"/>
      </right>
      <top style="thick">
        <color rgb="FFDD5E56"/>
      </top>
      <bottom style="thick">
        <color rgb="FFDD5E56"/>
      </bottom>
    </border>
    <border>
      <left style="thick">
        <color rgb="FF51A39A"/>
      </left>
      <right style="thick">
        <color rgb="FF51A39A"/>
      </right>
      <top style="thick">
        <color rgb="FF51A39A"/>
      </top>
    </border>
    <border>
      <left style="thick">
        <color rgb="FF51A39A"/>
      </left>
      <right style="thick">
        <color rgb="FF51A39A"/>
      </right>
      <bottom style="thick">
        <color rgb="FF51A39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3" fontId="0" fillId="0" borderId="2" pivotButton="0" quotePrefix="0" xfId="0"/>
    <xf numFmtId="0" fontId="1" fillId="0" borderId="2" pivotButton="0" quotePrefix="0" xfId="0"/>
    <xf numFmtId="10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pivotButton="0" quotePrefix="0" xfId="0"/>
    <xf numFmtId="2" fontId="0" fillId="0" borderId="5" pivotButton="0" quotePrefix="0" xfId="0"/>
    <xf numFmtId="0" fontId="1" fillId="0" borderId="5" pivotButton="0" quotePrefix="0" xfId="0"/>
    <xf numFmtId="10" fontId="0" fillId="0" borderId="6" pivotButton="0" quotePrefix="0" xfId="0"/>
    <xf numFmtId="0" fontId="0" fillId="0" borderId="4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6" pivotButton="0" quotePrefix="0" xfId="0"/>
    <xf numFmtId="0" fontId="0" fillId="0" borderId="5" pivotButton="0" quotePrefix="0" xfId="0"/>
    <xf numFmtId="0" fontId="1" fillId="2" borderId="4" pivotButton="0" quotePrefix="0" xfId="0"/>
    <xf numFmtId="0" fontId="1" fillId="0" borderId="7" pivotButton="0" quotePrefix="0" xfId="0"/>
    <xf numFmtId="10" fontId="0" fillId="0" borderId="8" pivotButton="0" quotePrefix="0" xfId="0"/>
    <xf numFmtId="0" fontId="1" fillId="2" borderId="8" pivotButton="0" quotePrefix="0" xfId="0"/>
    <xf numFmtId="10" fontId="0" fillId="0" borderId="9" pivotButton="0" quotePrefix="0" xfId="0"/>
    <xf numFmtId="0" fontId="1" fillId="2" borderId="1" pivotButton="0" quotePrefix="0" xfId="0"/>
    <xf numFmtId="2" fontId="0" fillId="0" borderId="3" pivotButton="0" quotePrefix="0" xfId="0"/>
    <xf numFmtId="10" fontId="0" fillId="0" borderId="10" pivotButton="0" quotePrefix="0" xfId="0"/>
    <xf numFmtId="0" fontId="0" fillId="2" borderId="4" applyAlignment="1" pivotButton="0" quotePrefix="0" xfId="0">
      <alignment wrapText="1"/>
    </xf>
    <xf numFmtId="3" fontId="0" fillId="0" borderId="1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applyAlignment="1" pivotButton="0" quotePrefix="0" xfId="0">
      <alignment horizontal="right"/>
    </xf>
    <xf numFmtId="0" fontId="1" fillId="0" borderId="11" applyAlignment="1" pivotButton="0" quotePrefix="0" xfId="0">
      <alignment horizontal="right"/>
    </xf>
    <xf numFmtId="0" fontId="1" fillId="0" borderId="12" applyAlignment="1" pivotButton="0" quotePrefix="0" xfId="0">
      <alignment horizontal="right"/>
    </xf>
    <xf numFmtId="3" fontId="0" fillId="0" borderId="0" pivotButton="0" quotePrefix="0" xfId="0"/>
    <xf numFmtId="3" fontId="0" fillId="0" borderId="13" pivotButton="0" quotePrefix="0" xfId="0"/>
    <xf numFmtId="10" fontId="0" fillId="0" borderId="0" pivotButton="0" quotePrefix="0" xfId="0"/>
    <xf numFmtId="10" fontId="0" fillId="0" borderId="14" pivotButton="0" quotePrefix="0" xfId="0"/>
    <xf numFmtId="10" fontId="0" fillId="0" borderId="15" pivotButton="0" quotePrefix="0" xfId="0"/>
    <xf numFmtId="0" fontId="1" fillId="0" borderId="13" applyAlignment="1" pivotButton="0" quotePrefix="0" xfId="0">
      <alignment horizontal="right"/>
    </xf>
    <xf numFmtId="0" fontId="1" fillId="0" borderId="14" pivotButton="0" quotePrefix="0" xfId="0"/>
    <xf numFmtId="3" fontId="0" fillId="0" borderId="3" pivotButton="0" quotePrefix="0" xfId="0"/>
    <xf numFmtId="2" fontId="2" fillId="0" borderId="18" applyAlignment="1" pivotButton="0" quotePrefix="0" xfId="0">
      <alignment horizontal="left" vertical="center"/>
    </xf>
    <xf numFmtId="2" fontId="2" fillId="0" borderId="18" applyAlignment="1" pivotButton="0" quotePrefix="0" xfId="0">
      <alignment horizontal="right" vertical="center"/>
    </xf>
    <xf numFmtId="3" fontId="0" fillId="0" borderId="6" pivotButton="0" quotePrefix="0" xfId="0"/>
    <xf numFmtId="0" fontId="0" fillId="0" borderId="19" pivotButton="0" quotePrefix="0" xfId="0"/>
    <xf numFmtId="2" fontId="0" fillId="0" borderId="6" pivotButton="0" quotePrefix="0" xfId="0"/>
    <xf numFmtId="0" fontId="2" fillId="0" borderId="18" applyAlignment="1" pivotButton="0" quotePrefix="0" xfId="0">
      <alignment horizontal="left" vertical="center"/>
    </xf>
    <xf numFmtId="0" fontId="2" fillId="0" borderId="18" applyAlignment="1" pivotButton="0" quotePrefix="0" xfId="0">
      <alignment horizontal="right" vertical="center"/>
    </xf>
    <xf numFmtId="0" fontId="1" fillId="2" borderId="16" pivotButton="0" quotePrefix="0" xfId="0"/>
    <xf numFmtId="10" fontId="0" fillId="0" borderId="17" pivotButton="0" quotePrefix="0" xfId="0"/>
  </cellXfs>
  <cellStyles count="1">
    <cellStyle name="Normal" xfId="0" builtinId="0" hidden="0"/>
  </cellStyles>
  <dxfs count="2">
    <dxf>
      <font>
        <b val="1"/>
        <color rgb="FF51A39A"/>
        <sz val="15"/>
      </font>
    </dxf>
    <dxf>
      <font>
        <b val="1"/>
        <color rgb="FFDD5E56"/>
        <sz val="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44"/>
  <sheetViews>
    <sheetView workbookViewId="0">
      <selection activeCell="A1" sqref="A1"/>
    </sheetView>
  </sheetViews>
  <sheetFormatPr baseColWidth="8" defaultRowHeight="15"/>
  <cols>
    <col width="1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B1" s="1" t="inlineStr">
        <is>
          <t>Discount Rate Estimates (2026-04-02)</t>
        </is>
      </c>
      <c r="G1" s="1" t="inlineStr">
        <is>
          <t>Growth Estimates</t>
        </is>
      </c>
    </row>
    <row r="2">
      <c r="B2" s="2" t="inlineStr">
        <is>
          <t>Market Cap (USD)</t>
        </is>
      </c>
      <c r="C2" s="3" t="n">
        <v>194080074300</v>
      </c>
      <c r="D2" s="4" t="inlineStr">
        <is>
          <t>Weight of Debt</t>
        </is>
      </c>
      <c r="E2" s="5">
        <f>C4/(C2+C4)</f>
        <v/>
      </c>
      <c r="G2" s="2" t="inlineStr">
        <is>
          <t>Revenue (USD)</t>
        </is>
      </c>
      <c r="H2" s="6" t="n"/>
      <c r="I2" s="7" t="n"/>
    </row>
    <row r="3">
      <c r="B3" s="8" t="inlineStr">
        <is>
          <t>β(5y)</t>
        </is>
      </c>
      <c r="C3" s="9" t="n">
        <v>0.7358</v>
      </c>
      <c r="D3" s="10" t="inlineStr">
        <is>
          <t>Weight of Equity</t>
        </is>
      </c>
      <c r="E3" s="11">
        <f>C2/(C2+C4)</f>
        <v/>
      </c>
      <c r="G3" s="12" t="inlineStr">
        <is>
          <t>2023-12-31</t>
        </is>
      </c>
      <c r="H3" s="13" t="n">
        <v>28114000000</v>
      </c>
      <c r="I3" s="11" t="n">
        <v>0.3416</v>
      </c>
    </row>
    <row r="4">
      <c r="B4" s="8" t="inlineStr">
        <is>
          <t>Total Debt (USD)</t>
        </is>
      </c>
      <c r="C4" s="13" t="n">
        <v>95619000000</v>
      </c>
      <c r="D4" s="10" t="inlineStr">
        <is>
          <t>Cost of Debt</t>
        </is>
      </c>
      <c r="E4" s="11">
        <f>C5/C4</f>
        <v/>
      </c>
      <c r="G4" s="12" t="inlineStr">
        <is>
          <t>2024-12-31</t>
        </is>
      </c>
      <c r="H4" s="13" t="n">
        <v>24753000000</v>
      </c>
      <c r="I4" s="11" t="n">
        <v>-0.1195</v>
      </c>
    </row>
    <row r="5">
      <c r="B5" s="8" t="inlineStr">
        <is>
          <t>Interest Expense (USD)</t>
        </is>
      </c>
      <c r="C5" s="13" t="n">
        <v>585000000</v>
      </c>
      <c r="D5" s="10" t="inlineStr">
        <is>
          <t>Cost of Equity</t>
        </is>
      </c>
      <c r="E5" s="11">
        <f>C8+C3*(C9-C8)</f>
        <v/>
      </c>
      <c r="G5" s="12" t="inlineStr">
        <is>
          <t>2025-12-31</t>
        </is>
      </c>
      <c r="H5" s="13" t="n">
        <v>27412000000</v>
      </c>
      <c r="I5" s="11" t="n">
        <v>0.1074</v>
      </c>
    </row>
    <row r="6">
      <c r="B6" s="8" t="inlineStr">
        <is>
          <t>Pre-Tax Income (USD)</t>
        </is>
      </c>
      <c r="C6" s="13" t="n">
        <v>1318000000</v>
      </c>
      <c r="D6" s="10" t="inlineStr">
        <is>
          <t>Tax Rate</t>
        </is>
      </c>
      <c r="E6" s="11" t="n">
        <v>0.17</v>
      </c>
      <c r="G6" s="8" t="inlineStr">
        <is>
          <t>Revenue 3Y CAGR</t>
        </is>
      </c>
      <c r="H6" s="14">
        <f>IF(H3&lt;=0,IF(H5&gt;0,"Turned Positive","N/A"),IF(H5&lt;=0,"Turned Negative",POWER(H5/H3,1/2)-1))</f>
        <v/>
      </c>
      <c r="I6" s="15" t="n"/>
    </row>
    <row r="7">
      <c r="B7" s="8" t="inlineStr">
        <is>
          <t>Tax Provision</t>
        </is>
      </c>
      <c r="C7" s="13" t="n">
        <v>225000000</v>
      </c>
      <c r="D7" s="16" t="n"/>
      <c r="E7" s="15" t="n"/>
      <c r="G7" s="12" t="n"/>
      <c r="H7" s="16" t="n"/>
      <c r="I7" s="15" t="n"/>
    </row>
    <row r="8">
      <c r="B8" s="17" t="inlineStr">
        <is>
          <t>Risk-Free Rate of Return (10Y Treasury Rate)</t>
        </is>
      </c>
      <c r="C8" s="14" t="n">
        <v>0.0431</v>
      </c>
      <c r="D8" s="16" t="n"/>
      <c r="E8" s="15" t="n"/>
      <c r="G8" s="8" t="inlineStr">
        <is>
          <t>FCF (USD)</t>
        </is>
      </c>
      <c r="H8" s="16" t="n"/>
      <c r="I8" s="15" t="n"/>
    </row>
    <row r="9">
      <c r="B9" s="18" t="inlineStr">
        <is>
          <t>Expected Market Return (S&amp;P500 Avg Return)</t>
        </is>
      </c>
      <c r="C9" s="19" t="n">
        <v>0.1287</v>
      </c>
      <c r="D9" s="20" t="inlineStr">
        <is>
          <t>WACC</t>
        </is>
      </c>
      <c r="E9" s="21">
        <f>E2*E4*(1-E6)+E3*E5</f>
        <v/>
      </c>
      <c r="G9" s="12" t="inlineStr">
        <is>
          <t>2023-12-31</t>
        </is>
      </c>
      <c r="H9" s="13" t="n">
        <v>1753000000</v>
      </c>
      <c r="I9" s="11" t="n">
        <v>2.1845</v>
      </c>
    </row>
    <row r="10">
      <c r="G10" s="12" t="inlineStr">
        <is>
          <t>2024-12-31</t>
        </is>
      </c>
      <c r="H10" s="13" t="n">
        <v>4746000000</v>
      </c>
      <c r="I10" s="11" t="n">
        <v>1.7074</v>
      </c>
    </row>
    <row r="11">
      <c r="G11" s="12" t="inlineStr">
        <is>
          <t>2025-12-31</t>
        </is>
      </c>
      <c r="H11" s="13" t="n">
        <v>3211000000</v>
      </c>
      <c r="I11" s="11" t="n">
        <v>-0.3234</v>
      </c>
    </row>
    <row r="12">
      <c r="G12" s="8" t="inlineStr">
        <is>
          <t>FCF 3Y CAGR</t>
        </is>
      </c>
      <c r="H12" s="14">
        <f>IF(H9&lt;=0,IF(H11&gt;0,"Turned Positive","N/A"),IF(H11&lt;=0,"Turned Negative",POWER(H11/H9,1/2)-1))</f>
        <v/>
      </c>
      <c r="I12" s="15" t="n"/>
    </row>
    <row r="13">
      <c r="G13" s="12" t="n"/>
      <c r="H13" s="16" t="n"/>
      <c r="I13" s="15" t="n"/>
    </row>
    <row r="14">
      <c r="G14" s="8" t="inlineStr">
        <is>
          <t>EBITDA (USD)</t>
        </is>
      </c>
      <c r="H14" s="16" t="n"/>
      <c r="I14" s="15" t="n"/>
    </row>
    <row r="15">
      <c r="G15" s="12" t="inlineStr">
        <is>
          <t>2023-12-31</t>
        </is>
      </c>
      <c r="H15" s="13" t="n">
        <v>16763000000</v>
      </c>
      <c r="I15" s="11" t="n">
        <v>0.8207</v>
      </c>
    </row>
    <row r="16">
      <c r="B16" s="1" t="inlineStr">
        <is>
          <t>DCF Template</t>
        </is>
      </c>
      <c r="G16" s="12" t="inlineStr">
        <is>
          <t>2024-12-31</t>
        </is>
      </c>
      <c r="H16" s="13" t="n">
        <v>14033000000</v>
      </c>
      <c r="I16" s="11" t="n">
        <v>-0.1629</v>
      </c>
    </row>
    <row r="17">
      <c r="B17" s="22" t="inlineStr">
        <is>
          <t>Decay Factor (6~10Y)</t>
        </is>
      </c>
      <c r="C17" s="23" t="n">
        <v>0.9</v>
      </c>
      <c r="G17" s="12" t="inlineStr">
        <is>
          <t>2025-12-31</t>
        </is>
      </c>
      <c r="H17" s="13" t="n">
        <v>16043000000</v>
      </c>
      <c r="I17" s="11" t="n">
        <v>0.1432</v>
      </c>
    </row>
    <row r="18">
      <c r="B18" s="17" t="inlineStr">
        <is>
          <t>Future Growth Rate (1~5 Years)</t>
        </is>
      </c>
      <c r="C18" s="24">
        <f>IFERROR((IF(ISNUMBER(H6),H6,0)*0.4+IF(ISNUMBER(H12),H12,0)*0.3+IF(ISNUMBER(H18),H18,0)*0.2+IF(ISNUMBER(H24),H24,0)*0.1)/(IF(ISNUMBER(H6),0.4,0)+IF(ISNUMBER(H12),0.3,0)+IF(ISNUMBER(H18),0.2,0)+IF(ISNUMBER(H24),0.1,0)),"N/A")</f>
        <v/>
      </c>
      <c r="G18" s="8" t="inlineStr">
        <is>
          <t>EBITDA 3Y CAGR</t>
        </is>
      </c>
      <c r="H18" s="14">
        <f>IF(H15&lt;=0,IF(H17&gt;0,"Turned Positive","N/A"),IF(H17&lt;=0,"Turned Negative",POWER(H17/H15,1/2)-1))</f>
        <v/>
      </c>
      <c r="I18" s="15" t="n"/>
    </row>
    <row r="19">
      <c r="B19" s="17" t="inlineStr">
        <is>
          <t>Future Growth Rate (6~10 Years)</t>
        </is>
      </c>
      <c r="C19" s="24">
        <f>MAX(C18*POWER(C17,5),C8)</f>
        <v/>
      </c>
      <c r="G19" s="12" t="n"/>
      <c r="H19" s="16" t="n"/>
      <c r="I19" s="15" t="n"/>
    </row>
    <row r="20">
      <c r="B20" s="17" t="inlineStr">
        <is>
          <t>Future Growth Rate (Terminal Stage)</t>
        </is>
      </c>
      <c r="C20" s="24">
        <f>C8</f>
        <v/>
      </c>
      <c r="G20" s="8" t="inlineStr">
        <is>
          <t>Net Income (USD)</t>
        </is>
      </c>
      <c r="H20" s="16" t="n"/>
      <c r="I20" s="15" t="n"/>
    </row>
    <row r="21">
      <c r="B21" s="25" t="inlineStr">
        <is>
          <r>
            <rPr>
              <b val="1"/>
            </rPr>
            <t xml:space="preserve">Discount Rate (%) (Default: WACC)
</t>
          </r>
          <r>
            <rPr>
              <b val="1"/>
              <i val="1"/>
            </rPr>
            <t>or S&amp;P 500 Average Return</t>
          </r>
        </is>
      </c>
      <c r="C21" s="24">
        <f>E9</f>
        <v/>
      </c>
      <c r="G21" s="12" t="inlineStr">
        <is>
          <t>2023-12-31</t>
        </is>
      </c>
      <c r="H21" s="13" t="n">
        <v>7310000000</v>
      </c>
      <c r="I21" s="11" t="n">
        <v>0.7627</v>
      </c>
    </row>
    <row r="22">
      <c r="B22" s="17" t="inlineStr">
        <is>
          <t>TTM Revenue (USD | 2025-03-31 ~ 2025-12-31)</t>
        </is>
      </c>
      <c r="C22" s="26" t="n">
        <v>27413000000</v>
      </c>
      <c r="G22" s="12" t="inlineStr">
        <is>
          <t>2024-12-31</t>
        </is>
      </c>
      <c r="H22" s="13" t="n">
        <v>6946000000</v>
      </c>
      <c r="I22" s="11" t="n">
        <v>-0.0498</v>
      </c>
    </row>
    <row r="23">
      <c r="B23" s="17" t="inlineStr">
        <is>
          <t>Future Revenue Growth Rate (1~5 Years)</t>
        </is>
      </c>
      <c r="C23" s="24">
        <f>H6</f>
        <v/>
      </c>
      <c r="G23" s="12" t="inlineStr">
        <is>
          <t>2025-12-31</t>
        </is>
      </c>
      <c r="H23" s="13" t="n">
        <v>6835000000</v>
      </c>
      <c r="I23" s="11" t="n">
        <v>-0.016</v>
      </c>
    </row>
    <row r="24">
      <c r="B24" s="17" t="inlineStr">
        <is>
          <t>Future Revenue Growth Rate (6~10 Years)</t>
        </is>
      </c>
      <c r="C24" s="24">
        <f>MAX(H6*POWER(C17,5),C8)</f>
        <v/>
      </c>
      <c r="G24" s="18" t="inlineStr">
        <is>
          <t>Net Income 3Y CAGR</t>
        </is>
      </c>
      <c r="H24" s="19">
        <f>IF(H21&lt;=0,IF(H23&gt;0,"Turned Positive","N/A"),IF(H23&lt;=0,"Turned Negative",POWER(H23/H21,1/2)-1))</f>
        <v/>
      </c>
      <c r="I24" s="27" t="n"/>
    </row>
    <row r="25">
      <c r="B25" s="12" t="n"/>
      <c r="C25" s="28" t="n"/>
    </row>
    <row r="26">
      <c r="B26" s="8" t="inlineStr">
        <is>
          <t>Year</t>
        </is>
      </c>
      <c r="C26" s="29" t="inlineStr">
        <is>
          <t>2025-12-31 (TTM)</t>
        </is>
      </c>
      <c r="D26" s="30" t="inlineStr">
        <is>
          <t>2026/12/31</t>
        </is>
      </c>
      <c r="E26" s="30" t="inlineStr">
        <is>
          <t>2027/12/31</t>
        </is>
      </c>
      <c r="F26" s="30" t="inlineStr">
        <is>
          <t>2028/12/31</t>
        </is>
      </c>
      <c r="G26" s="30" t="inlineStr">
        <is>
          <t>2029/12/31</t>
        </is>
      </c>
      <c r="H26" s="30" t="inlineStr">
        <is>
          <t>2030/12/31</t>
        </is>
      </c>
      <c r="I26" s="30" t="inlineStr">
        <is>
          <t>2031/12/31</t>
        </is>
      </c>
      <c r="J26" s="30" t="inlineStr">
        <is>
          <t>2032/12/31</t>
        </is>
      </c>
      <c r="K26" s="30" t="inlineStr">
        <is>
          <t>2033/12/31</t>
        </is>
      </c>
      <c r="L26" s="30" t="inlineStr">
        <is>
          <t>2034/12/31</t>
        </is>
      </c>
      <c r="M26" s="31" t="inlineStr">
        <is>
          <t>2035/12/31</t>
        </is>
      </c>
    </row>
    <row r="27">
      <c r="B27" s="8" t="inlineStr">
        <is>
          <t>Free Cash Flow (USD)</t>
        </is>
      </c>
      <c r="C27" s="32" t="n">
        <v>3211000000</v>
      </c>
      <c r="D27" s="32">
        <f>C27*(1+C18)</f>
        <v/>
      </c>
      <c r="E27" s="32">
        <f>D27*(1+C18)</f>
        <v/>
      </c>
      <c r="F27" s="32">
        <f>E27*(1+C18)</f>
        <v/>
      </c>
      <c r="G27" s="32">
        <f>F27*(1+C18)</f>
        <v/>
      </c>
      <c r="H27" s="32">
        <f>G27*(1+C18)</f>
        <v/>
      </c>
      <c r="I27" s="32">
        <f>H27*(1+C19)</f>
        <v/>
      </c>
      <c r="J27" s="32">
        <f>I27*(1+C19)</f>
        <v/>
      </c>
      <c r="K27" s="32">
        <f>J27*(1+C19)</f>
        <v/>
      </c>
      <c r="L27" s="32">
        <f>K27*(1+C19)</f>
        <v/>
      </c>
      <c r="M27" s="33">
        <f>L27*(1+C19)</f>
        <v/>
      </c>
    </row>
    <row r="28">
      <c r="B28" s="8" t="inlineStr">
        <is>
          <t>Terminal Value (USD)</t>
        </is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3">
        <f>M27*(1 + C20) / (C9 - C20)</f>
        <v/>
      </c>
    </row>
    <row r="29">
      <c r="B29" s="8" t="inlineStr">
        <is>
          <t>Total Value (USD)</t>
        </is>
      </c>
      <c r="C29" s="32">
        <f>C27</f>
        <v/>
      </c>
      <c r="D29" s="32">
        <f>D27</f>
        <v/>
      </c>
      <c r="E29" s="32">
        <f>E27</f>
        <v/>
      </c>
      <c r="F29" s="32">
        <f>F27</f>
        <v/>
      </c>
      <c r="G29" s="32">
        <f>G27</f>
        <v/>
      </c>
      <c r="H29" s="32">
        <f>H27</f>
        <v/>
      </c>
      <c r="I29" s="32">
        <f>I27</f>
        <v/>
      </c>
      <c r="J29" s="32">
        <f>J27</f>
        <v/>
      </c>
      <c r="K29" s="32">
        <f>K27</f>
        <v/>
      </c>
      <c r="L29" s="32">
        <f>L27</f>
        <v/>
      </c>
      <c r="M29" s="33">
        <f>M27+M28</f>
        <v/>
      </c>
    </row>
    <row r="30">
      <c r="B30" s="8" t="inlineStr">
        <is>
          <t>FCF Margin</t>
        </is>
      </c>
      <c r="C30" s="34">
        <f>C27/C22</f>
        <v/>
      </c>
      <c r="D30" s="34">
        <f>D27/(C22*POWER(1+C23,1))</f>
        <v/>
      </c>
      <c r="E30" s="34">
        <f>E27/(C22*POWER(1+C23,2))</f>
        <v/>
      </c>
      <c r="F30" s="34">
        <f>F27/(C22*POWER(1+C23,3))</f>
        <v/>
      </c>
      <c r="G30" s="34">
        <f>G27/(C22*POWER(1+C23,4))</f>
        <v/>
      </c>
      <c r="H30" s="35">
        <f>H27/(C22*POWER(1+C23,5))</f>
        <v/>
      </c>
      <c r="I30" s="35">
        <f>I27/(C22*POWER(1+C23,5)*POWER(1+C24,1))</f>
        <v/>
      </c>
      <c r="J30" s="35">
        <f>J27/(C22*POWER(1+C23,5)*POWER(1+C24,2))</f>
        <v/>
      </c>
      <c r="K30" s="35">
        <f>K27/(C22*POWER(1+C23,5)*POWER(1+C24,3))</f>
        <v/>
      </c>
      <c r="L30" s="35">
        <f>L27/(C22*POWER(1+C23,5)*POWER(1+C24,4))</f>
        <v/>
      </c>
      <c r="M30" s="36">
        <f>M27/(C22*POWER(1+C23,5)*POWER(1+C24,5))</f>
        <v/>
      </c>
    </row>
    <row r="31">
      <c r="B31" s="12" t="n"/>
      <c r="G31" s="15" t="n"/>
    </row>
    <row r="32">
      <c r="B32" s="8" t="inlineStr">
        <is>
          <t>Year (Historical)</t>
        </is>
      </c>
      <c r="C32" s="29" t="inlineStr">
        <is>
          <t>2021/12/31</t>
        </is>
      </c>
      <c r="D32" s="29" t="inlineStr">
        <is>
          <t>2022/12/31</t>
        </is>
      </c>
      <c r="E32" s="29" t="inlineStr">
        <is>
          <t>2023/12/31</t>
        </is>
      </c>
      <c r="F32" s="29" t="inlineStr">
        <is>
          <t>2024/12/31</t>
        </is>
      </c>
      <c r="G32" s="37" t="inlineStr">
        <is>
          <t>2025/12/31</t>
        </is>
      </c>
    </row>
    <row r="33">
      <c r="B33" s="38" t="inlineStr">
        <is>
          <t>FCF Margin (Historical)</t>
        </is>
      </c>
      <c r="C33" s="35" t="n">
        <v>-0.0162</v>
      </c>
      <c r="D33" s="35" t="n">
        <v>-0.0706</v>
      </c>
      <c r="E33" s="35" t="n">
        <v>0.0624</v>
      </c>
      <c r="F33" s="35" t="n">
        <v>0.1917</v>
      </c>
      <c r="G33" s="36" t="n">
        <v>0.1171</v>
      </c>
    </row>
    <row r="36">
      <c r="B36" s="1" t="inlineStr">
        <is>
          <t>DCF Value (2026-04-02)</t>
        </is>
      </c>
    </row>
    <row r="37">
      <c r="B37" s="22" t="inlineStr">
        <is>
          <t>Enterprise Value (USD)</t>
        </is>
      </c>
      <c r="C37" s="39">
        <f>NPV(C21,D29:M29)</f>
        <v/>
      </c>
      <c r="E37" s="40" t="inlineStr">
        <is>
          <t>Fair Price</t>
        </is>
      </c>
      <c r="F37" s="41">
        <f>C42</f>
        <v/>
      </c>
    </row>
    <row r="38">
      <c r="B38" s="17" t="inlineStr">
        <is>
          <t>Cash &amp; ST Investments (USD)</t>
        </is>
      </c>
      <c r="C38" s="42" t="n">
        <v>2812000000</v>
      </c>
      <c r="E38" s="43" t="n"/>
      <c r="F38" s="43" t="n"/>
    </row>
    <row r="39">
      <c r="B39" s="17" t="inlineStr">
        <is>
          <t>Total Debt</t>
        </is>
      </c>
      <c r="C39" s="42">
        <f>C4</f>
        <v/>
      </c>
    </row>
    <row r="40">
      <c r="B40" s="17" t="inlineStr">
        <is>
          <t>Equity Value</t>
        </is>
      </c>
      <c r="C40" s="42">
        <f>C37+C38-C39</f>
        <v/>
      </c>
      <c r="E40" s="40" t="inlineStr">
        <is>
          <t>Current Price</t>
        </is>
      </c>
      <c r="F40" s="41">
        <f>C43</f>
        <v/>
      </c>
    </row>
    <row r="41">
      <c r="B41" s="17" t="inlineStr">
        <is>
          <t>Outstanding Shares</t>
        </is>
      </c>
      <c r="C41" s="42" t="n">
        <v>2083522000</v>
      </c>
      <c r="E41" s="43" t="n"/>
      <c r="F41" s="43" t="n"/>
    </row>
    <row r="42">
      <c r="B42" s="17" t="inlineStr">
        <is>
          <t>Fair Price</t>
        </is>
      </c>
      <c r="C42" s="44">
        <f>C40/C41</f>
        <v/>
      </c>
    </row>
    <row r="43">
      <c r="B43" s="17" t="inlineStr">
        <is>
          <t>Current Price</t>
        </is>
      </c>
      <c r="C43" s="44" t="n">
        <v>93.15000000000001</v>
      </c>
      <c r="E43" s="45" t="inlineStr">
        <is>
          <t>Buy / Sell</t>
        </is>
      </c>
      <c r="F43" s="46">
        <f>IF(C42&gt;C43,"Buy","Sell")</f>
        <v/>
      </c>
    </row>
    <row r="44">
      <c r="B44" s="47" t="inlineStr">
        <is>
          <t>Margin of safety</t>
        </is>
      </c>
      <c r="C44" s="48">
        <f>(C42-C43)/C42</f>
        <v/>
      </c>
      <c r="E44" s="43" t="n"/>
      <c r="F44" s="43" t="n"/>
    </row>
  </sheetData>
  <mergeCells count="6">
    <mergeCell ref="F40:F41"/>
    <mergeCell ref="E43:E44"/>
    <mergeCell ref="F43:F44"/>
    <mergeCell ref="F37:F38"/>
    <mergeCell ref="E37:E38"/>
    <mergeCell ref="E40:E41"/>
  </mergeCells>
  <conditionalFormatting sqref="F43:F44">
    <cfRule type="cellIs" priority="1" operator="equal" dxfId="0">
      <formula>"Buy"</formula>
    </cfRule>
    <cfRule type="cellIs" priority="2" operator="equal" dxfId="1">
      <formula>"Sell"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2026-04-12T02:38:00Z</dcterms:created>
  <dcterms:modified xmlns:dcterms="http://purl.org/dc/terms/" xmlns:xsi="http://www.w3.org/2001/XMLSchema-instance" xsi:type="dcterms:W3CDTF">2026-04-12T02:38:11Z</dcterms:modified>
</cp:coreProperties>
</file>